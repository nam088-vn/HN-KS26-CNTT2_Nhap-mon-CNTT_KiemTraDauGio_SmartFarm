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340" windowHeight="12960" activeTab="1"/>
  </bookViews>
  <sheets>
    <sheet name="danh-muc-linh-kien" sheetId="1" r:id="rId1"/>
    <sheet name="trang-thai-tram" sheetId="2" r:id="rId2"/>
  </sheets>
  <definedNames>
    <definedName name="_xlnm._FilterDatabase" localSheetId="1" hidden="1">'trang-thai-tram'!$A$1:$F$11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<sst xmlns="http://schemas.openxmlformats.org/spreadsheetml/2006/main" count="48" uniqueCount="37">
  <si>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ma_linh_kien</t>
  </si>
  <si>
    <t>ma_linh_kien2</t>
  </si>
  <si>
    <t>ma_linh_kien3</t>
  </si>
  <si>
    <t>ma_linh_kien4</t>
  </si>
  <si>
    <t>LK01</t>
  </si>
  <si>
    <t>Raspberry Pi 4 Model B</t>
  </si>
  <si>
    <t>SSD</t>
  </si>
  <si>
    <t>LK02</t>
  </si>
  <si>
    <t>Intel NUC i3</t>
  </si>
  <si>
    <t>LK03</t>
  </si>
  <si>
    <t>Orange Pi 5</t>
  </si>
  <si>
    <t>LK04</t>
  </si>
  <si>
    <t>Dell Optiplex Micro</t>
  </si>
  <si>
    <t>HDD</t>
  </si>
  <si>
    <t>LK05</t>
  </si>
  <si>
    <t>Mini PC Fanless N100</t>
  </si>
  <si>
    <t>LK06</t>
  </si>
  <si>
    <t>Synology DS220j NAS</t>
  </si>
  <si>
    <t>ma_tram</t>
  </si>
  <si>
    <t>dung_luong_ram</t>
  </si>
  <si>
    <t>ngay_lap_dat</t>
  </si>
  <si>
    <t>ma_linh_kien_sach</t>
  </si>
  <si>
    <t>ten_thiet_bi</t>
  </si>
  <si>
    <t>ST01</t>
  </si>
  <si>
    <t>ST02</t>
  </si>
  <si>
    <t xml:space="preserve"> LK01</t>
  </si>
  <si>
    <t>ST03</t>
  </si>
  <si>
    <t xml:space="preserve">LK05 </t>
  </si>
  <si>
    <t>ST04</t>
  </si>
  <si>
    <t>ST05</t>
  </si>
  <si>
    <t xml:space="preserve">LK02 </t>
  </si>
  <si>
    <t>ST06</t>
  </si>
  <si>
    <t>ST07</t>
  </si>
  <si>
    <t>ST08</t>
  </si>
  <si>
    <t xml:space="preserve"> LK04</t>
  </si>
  <si>
    <t>ST09</t>
  </si>
  <si>
    <t>ST10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</si>
</sst>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58" fontId="0" fillId="0" borderId="0" xfId="0" applyNumberFormat="1" applyAlignment="1">
      <alignment horizontal="center"/>
    </xf>
    <xf numFmtId="0" fontId="2" fillId="0" borderId="0" xfId="0" applyFon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numFmt numFmtId="3" formatCode="#,##0"/>
    </dxf>
    <dxf>
      <alignment horizontal="center"/>
    </dxf>
    <dxf>
      <alignment horizontal="center"/>
    </dxf>
    <dxf>
      <alignment horizontal="center"/>
    </dxf>
    <dxf>
      <numFmt numFmtId="58" formatCode="dd/mm/yyyy"/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D7" totalsRowShown="0">
  <autoFilter xmlns:etc="http://www.wps.cn/officeDocument/2017/etCustomData" ref="A1:D7" etc:filterBottomFollowUsedRange="0"/>
  <tableColumns count="4">
    <tableColumn id="1" name="ma_linh_kien"/>
    <tableColumn id="2" name="ma_linh_kien2"/>
    <tableColumn id="3" name="ma_linh_kien3" dataDxfId="0"/>
    <tableColumn id="4" name="ma_linh_kie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11" totalsRowShown="0">
  <autoFilter xmlns:etc="http://www.wps.cn/officeDocument/2017/etCustomData" ref="A1:F11" etc:filterBottomFollowUsedRange="0">
    <extLst/>
  </autoFilter>
  <tableColumns count="6">
    <tableColumn id="1" name="ma_tram" dataDxfId="1"/>
    <tableColumn id="2" name="ma_linh_kien" dataDxfId="2"/>
    <tableColumn id="3" name="dung_luong_ram" dataDxfId="3"/>
    <tableColumn id="4" name="ngay_lap_dat" dataDxfId="4"/>
    <tableColumn id="5" name="ma_linh_kien_sach" dataDxfId="5">
      <calculatedColumnFormula>TRIM(B2)</calculatedColumnFormula>
    </tableColumn>
    <tableColumn id="6" name="ten_thiet_bi" dataDxfId="6">
      <calculatedColumnFormula>VLOOKUP(E2,'danh-muc-linh-kien'!$A$2:$D$100,2,FALSE)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D14" sqref="D14"/>
    </sheetView>
  </sheetViews>
  <sheetFormatPr defaultColWidth="9" defaultRowHeight="16.8" outlineLevelRow="6" outlineLevelCol="3"/>
  <cols>
    <col min="1" max="4" width="24" customWidth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t="s">
        <v>4</v>
      </c>
      <c r="B2" t="s">
        <v>5</v>
      </c>
      <c r="C2" s="6">
        <v>1450000</v>
      </c>
      <c r="D2" t="s">
        <v>6</v>
      </c>
    </row>
    <row r="3" spans="1:4">
      <c r="A3" t="s">
        <v>7</v>
      </c>
      <c r="B3" t="s">
        <v>8</v>
      </c>
      <c r="C3" s="6">
        <v>6200000</v>
      </c>
      <c r="D3" t="s">
        <v>6</v>
      </c>
    </row>
    <row r="4" spans="1:4">
      <c r="A4" t="s">
        <v>9</v>
      </c>
      <c r="B4" t="s">
        <v>10</v>
      </c>
      <c r="C4" s="6">
        <v>2300000</v>
      </c>
      <c r="D4" t="s">
        <v>6</v>
      </c>
    </row>
    <row r="5" spans="1:4">
      <c r="A5" t="s">
        <v>11</v>
      </c>
      <c r="B5" t="s">
        <v>12</v>
      </c>
      <c r="C5" s="6">
        <v>5400000</v>
      </c>
      <c r="D5" t="s">
        <v>13</v>
      </c>
    </row>
    <row r="6" spans="1:4">
      <c r="A6" t="s">
        <v>14</v>
      </c>
      <c r="B6" t="s">
        <v>15</v>
      </c>
      <c r="C6" s="6">
        <v>4200000</v>
      </c>
      <c r="D6" t="s">
        <v>6</v>
      </c>
    </row>
    <row r="7" spans="1:4">
      <c r="A7" t="s">
        <v>16</v>
      </c>
      <c r="B7" t="s">
        <v>17</v>
      </c>
      <c r="C7" s="6">
        <v>3900000</v>
      </c>
      <c r="D7" t="s">
        <v>13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topLeftCell="A2" workbookViewId="0">
      <selection activeCell="C17" sqref="C17"/>
    </sheetView>
  </sheetViews>
  <sheetFormatPr defaultColWidth="9" defaultRowHeight="16.8" outlineLevelCol="5"/>
  <cols>
    <col min="1" max="4" width="24" customWidth="1"/>
    <col min="5" max="5" width="19.0078125" customWidth="1"/>
    <col min="6" max="6" width="18.4921875" customWidth="1"/>
  </cols>
  <sheetData>
    <row r="1" s="1" customFormat="1" spans="1:6">
      <c r="A1" s="2" t="s">
        <v>18</v>
      </c>
      <c r="B1" s="2" t="s">
        <v>0</v>
      </c>
      <c r="C1" s="2" t="s">
        <v>19</v>
      </c>
      <c r="D1" s="2" t="s">
        <v>20</v>
      </c>
      <c r="E1" s="1" t="s">
        <v>21</v>
      </c>
      <c r="F1" s="1" t="s">
        <v>22</v>
      </c>
    </row>
    <row r="2" spans="1:6">
      <c r="A2" s="3" t="s">
        <v>23</v>
      </c>
      <c r="B2" s="3" t="s">
        <v>7</v>
      </c>
      <c r="C2" s="3">
        <v>16</v>
      </c>
      <c r="D2" s="4">
        <v>46093</v>
      </c>
      <c r="E2" s="3" t="str">
        <f>TRIM(B2)</f>
        <v>LK02</v>
      </c>
      <c r="F2" s="3" t="str">
        <f>VLOOKUP(E2,'danh-muc-linh-kien'!$A$2:$D$100,2,FALSE)</f>
        <v>Intel NUC i3</v>
      </c>
    </row>
    <row r="3" spans="1:6">
      <c r="A3" s="3" t="s">
        <v>24</v>
      </c>
      <c r="B3" s="3" t="s">
        <v>25</v>
      </c>
      <c r="C3" s="3">
        <v>4</v>
      </c>
      <c r="D3" s="4">
        <v>46096</v>
      </c>
      <c r="E3" s="3" t="str">
        <f t="shared" ref="E3:E11" si="0">TRIM(B3)</f>
        <v>LK01</v>
      </c>
      <c r="F3" s="3" t="str">
        <f>VLOOKUP(E3,'danh-muc-linh-kien'!$A$2:$D$100,2,FALSE)</f>
        <v>Raspberry Pi 4 Model B</v>
      </c>
    </row>
    <row r="4" spans="1:6">
      <c r="A4" s="3" t="s">
        <v>26</v>
      </c>
      <c r="B4" s="3" t="s">
        <v>27</v>
      </c>
      <c r="C4" s="3">
        <v>8</v>
      </c>
      <c r="D4" s="4">
        <v>46114</v>
      </c>
      <c r="E4" s="3" t="str">
        <f t="shared" si="0"/>
        <v>LK05</v>
      </c>
      <c r="F4" s="3" t="str">
        <f>VLOOKUP(E4,'danh-muc-linh-kien'!$A$2:$D$100,2,FALSE)</f>
        <v>Mini PC Fanless N100</v>
      </c>
    </row>
    <row r="5" spans="1:6">
      <c r="A5" s="3" t="s">
        <v>28</v>
      </c>
      <c r="B5" s="3" t="s">
        <v>9</v>
      </c>
      <c r="C5" s="3">
        <v>8</v>
      </c>
      <c r="D5" s="4">
        <v>46121</v>
      </c>
      <c r="E5" s="3" t="str">
        <f t="shared" si="0"/>
        <v>LK03</v>
      </c>
      <c r="F5" s="3" t="str">
        <f>VLOOKUP(E5,'danh-muc-linh-kien'!$A$2:$D$100,2,FALSE)</f>
        <v>Orange Pi 5</v>
      </c>
    </row>
    <row r="6" spans="1:6">
      <c r="A6" s="3" t="s">
        <v>29</v>
      </c>
      <c r="B6" s="3" t="s">
        <v>30</v>
      </c>
      <c r="C6" s="3">
        <v>16</v>
      </c>
      <c r="D6" s="4">
        <v>46133</v>
      </c>
      <c r="E6" s="3" t="str">
        <f t="shared" si="0"/>
        <v>LK02</v>
      </c>
      <c r="F6" s="3" t="str">
        <f>VLOOKUP(E6,'danh-muc-linh-kien'!$A$2:$D$100,2,FALSE)</f>
        <v>Intel NUC i3</v>
      </c>
    </row>
    <row r="7" spans="1:6">
      <c r="A7" s="3" t="s">
        <v>31</v>
      </c>
      <c r="B7" s="3" t="s">
        <v>16</v>
      </c>
      <c r="C7" s="3">
        <v>4</v>
      </c>
      <c r="D7" s="4">
        <v>46147</v>
      </c>
      <c r="E7" s="3" t="str">
        <f t="shared" si="0"/>
        <v>LK06</v>
      </c>
      <c r="F7" s="3" t="str">
        <f>VLOOKUP(E7,'danh-muc-linh-kien'!$A$2:$D$100,2,FALSE)</f>
        <v>Synology DS220j NAS</v>
      </c>
    </row>
    <row r="8" spans="1:6">
      <c r="A8" s="3" t="s">
        <v>32</v>
      </c>
      <c r="B8" s="3" t="s">
        <v>4</v>
      </c>
      <c r="C8" s="3">
        <v>4</v>
      </c>
      <c r="D8" s="4">
        <v>46160</v>
      </c>
      <c r="E8" s="3" t="str">
        <f t="shared" si="0"/>
        <v>LK01</v>
      </c>
      <c r="F8" s="3" t="str">
        <f>VLOOKUP(E8,'danh-muc-linh-kien'!$A$2:$D$100,2,FALSE)</f>
        <v>Raspberry Pi 4 Model B</v>
      </c>
    </row>
    <row r="9" spans="1:6">
      <c r="A9" s="3" t="s">
        <v>33</v>
      </c>
      <c r="B9" s="3" t="s">
        <v>34</v>
      </c>
      <c r="C9" s="3">
        <v>8</v>
      </c>
      <c r="D9" s="4">
        <v>46174</v>
      </c>
      <c r="E9" s="3" t="str">
        <f t="shared" si="0"/>
        <v>LK04</v>
      </c>
      <c r="F9" s="3" t="str">
        <f>VLOOKUP(E9,'danh-muc-linh-kien'!$A$2:$D$100,2,FALSE)</f>
        <v>Dell Optiplex Micro</v>
      </c>
    </row>
    <row r="10" spans="1:6">
      <c r="A10" s="3" t="s">
        <v>35</v>
      </c>
      <c r="B10" s="3" t="s">
        <v>9</v>
      </c>
      <c r="C10" s="3">
        <v>8</v>
      </c>
      <c r="D10" s="4">
        <v>46187</v>
      </c>
      <c r="E10" s="3" t="str">
        <f t="shared" si="0"/>
        <v>LK03</v>
      </c>
      <c r="F10" s="3" t="str">
        <f>VLOOKUP(E10,'danh-muc-linh-kien'!$A$2:$D$100,2,FALSE)</f>
        <v>Orange Pi 5</v>
      </c>
    </row>
    <row r="11" spans="1:6">
      <c r="A11" s="3" t="s">
        <v>36</v>
      </c>
      <c r="B11" s="3" t="s">
        <v>14</v>
      </c>
      <c r="C11" s="3">
        <v>8</v>
      </c>
      <c r="D11" s="4">
        <v>46206</v>
      </c>
      <c r="E11" s="3" t="str">
        <f t="shared" si="0"/>
        <v>LK05</v>
      </c>
      <c r="F11" s="3" t="str">
        <f>VLOOKUP(E11,'danh-muc-linh-kien'!$A$2:$D$100,2,FALSE)</f>
        <v>Mini PC Fanless N100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danh-muc-linh-kien</vt:lpstr>
      <vt:lpstr>trang-thai-tram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Nam</cp:lastModifiedBy>
  <dcterms:created xsi:type="dcterms:W3CDTF">2026-10-14T00:17:00Z</dcterms:created>
  <dcterms:modified xsi:type="dcterms:W3CDTF">2026-10-27T09:17:25Z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F41A5EB4D35A98B69F08E06A5570E672_42</vt:lpwstr>
  </property>
  <property fmtid="{D5CDD505-2E9C-101B-9397-08002B2CF9AE}" pid="3" name="KSOProductBuildVer">
    <vt:lpwstr>1033-12.1.29182.29182</vt:lpwstr>
  </property>
  <property fmtid="{D5CDD505-2E9C-101B-9397-08002B2CF9AE}" pid="4" name="CalculationRule">
    <vt:i4>0</vt:i4>
  </property>
</Properties>
</file>